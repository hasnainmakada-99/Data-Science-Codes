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rcial" sheetId="1" state="visible" r:id="rId1"/>
    <sheet xmlns:r="http://schemas.openxmlformats.org/officeDocument/2006/relationships" name="Quality" sheetId="2" state="visible" r:id="rId2"/>
    <sheet xmlns:r="http://schemas.openxmlformats.org/officeDocument/2006/relationships" name="Safety" sheetId="3" state="visible" r:id="rId3"/>
    <sheet xmlns:r="http://schemas.openxmlformats.org/officeDocument/2006/relationships" name="Design" sheetId="4" state="visible" r:id="rId4"/>
    <sheet xmlns:r="http://schemas.openxmlformats.org/officeDocument/2006/relationships" name="BIM" sheetId="5" state="visible" r:id="rId5"/>
    <sheet xmlns:r="http://schemas.openxmlformats.org/officeDocument/2006/relationships" name="Clash" sheetId="6" state="visible" r:id="rId6"/>
    <sheet xmlns:r="http://schemas.openxmlformats.org/officeDocument/2006/relationships" name="Constr" sheetId="7" state="visible" r:id="rId7"/>
    <sheet xmlns:r="http://schemas.openxmlformats.org/officeDocument/2006/relationships" name="Manpower" sheetId="8" state="visible" r:id="rId8"/>
    <sheet xmlns:r="http://schemas.openxmlformats.org/officeDocument/2006/relationships" name="SeptPlan" sheetId="9" state="visible" r:id="rId9"/>
    <sheet xmlns:r="http://schemas.openxmlformats.org/officeDocument/2006/relationships" name="EHS" sheetId="10" state="visible" r:id="rId10"/>
    <sheet xmlns:r="http://schemas.openxmlformats.org/officeDocument/2006/relationships" name="QualityIn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B1" t="inlineStr">
        <is>
          <t>Baseline</t>
        </is>
      </c>
      <c r="C1" t="inlineStr">
        <is>
          <t>Revamp Plan</t>
        </is>
      </c>
      <c r="D1" t="inlineStr">
        <is>
          <t>Actual</t>
        </is>
      </c>
      <c r="F1" t="inlineStr">
        <is>
          <t>Var vs BL %</t>
        </is>
      </c>
      <c r="G1" t="inlineStr">
        <is>
          <t>Gap Cr</t>
        </is>
      </c>
    </row>
    <row r="2">
      <c r="A2" t="inlineStr">
        <is>
          <t>FTM</t>
        </is>
      </c>
      <c r="B2" t="n">
        <v>40</v>
      </c>
      <c r="C2" t="n">
        <v>31.06</v>
      </c>
      <c r="D2" t="n">
        <v>15.5</v>
      </c>
      <c r="F2">
        <f>ROUND((D2-B2)/B2*100,0)</f>
        <v/>
      </c>
      <c r="G2">
        <f>B2-D2</f>
        <v/>
      </c>
    </row>
    <row r="3">
      <c r="A3" t="inlineStr">
        <is>
          <t>CUM</t>
        </is>
      </c>
      <c r="B3" t="n">
        <v>114</v>
      </c>
      <c r="C3" t="n">
        <v>54</v>
      </c>
      <c r="D3" t="n">
        <v>37.8</v>
      </c>
      <c r="F3">
        <f>ROUND((D3-B3)/B3*100,0)</f>
        <v/>
      </c>
      <c r="G3">
        <f>B3-D3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inlineStr">
        <is>
          <t>FTRI</t>
        </is>
      </c>
    </row>
    <row r="2">
      <c r="A2" t="inlineStr">
        <is>
          <t>Achieved</t>
        </is>
      </c>
      <c r="B2" t="n">
        <v>0.88</v>
      </c>
    </row>
    <row r="3">
      <c r="A3" t="inlineStr">
        <is>
          <t>Gap</t>
        </is>
      </c>
      <c r="B3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B1" t="inlineStr">
        <is>
          <t>Value</t>
        </is>
      </c>
      <c r="C1" t="inlineStr">
        <is>
          <t>Scale</t>
        </is>
      </c>
    </row>
    <row r="2">
      <c r="A2" t="inlineStr">
        <is>
          <t>Near Misses</t>
        </is>
      </c>
      <c r="B2" t="n">
        <v>4</v>
      </c>
      <c r="C2" t="n">
        <v>11</v>
      </c>
    </row>
    <row r="3">
      <c r="A3" t="inlineStr">
        <is>
          <t>Inductions</t>
        </is>
      </c>
      <c r="B3" t="n">
        <v>1691</v>
      </c>
      <c r="C3" t="n">
        <v>2400</v>
      </c>
    </row>
    <row r="4">
      <c r="A4" t="inlineStr">
        <is>
          <t>Open NCR</t>
        </is>
      </c>
      <c r="B4" t="n">
        <v>1</v>
      </c>
      <c r="C4" t="n">
        <v>5</v>
      </c>
    </row>
    <row r="5">
      <c r="A5" t="inlineStr">
        <is>
          <t>LTI</t>
        </is>
      </c>
      <c r="B5" t="n">
        <v>0</v>
      </c>
      <c r="C5" t="n">
        <v>5</v>
      </c>
    </row>
    <row r="6">
      <c r="A6" t="inlineStr">
        <is>
          <t>Safe Manhours ITD</t>
        </is>
      </c>
      <c r="B6" t="n">
        <v>344498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B1" t="inlineStr">
        <is>
          <t>Value</t>
        </is>
      </c>
      <c r="C1" t="inlineStr">
        <is>
          <t>Scale</t>
        </is>
      </c>
    </row>
    <row r="2">
      <c r="A2" t="inlineStr">
        <is>
          <t>DD Approved</t>
        </is>
      </c>
      <c r="B2" t="n">
        <v>1014</v>
      </c>
      <c r="C2" t="n">
        <v>1220</v>
      </c>
    </row>
    <row r="3">
      <c r="A3" t="inlineStr">
        <is>
          <t>GFC Approved</t>
        </is>
      </c>
      <c r="B3" t="n">
        <v>178</v>
      </c>
      <c r="C3" t="n">
        <v>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Architecture</t>
        </is>
      </c>
      <c r="C1" t="inlineStr">
        <is>
          <t>Structure</t>
        </is>
      </c>
      <c r="D1" t="inlineStr">
        <is>
          <t>MEPF</t>
        </is>
      </c>
      <c r="E1" t="inlineStr">
        <is>
          <t>BOH</t>
        </is>
      </c>
    </row>
    <row r="2">
      <c r="A2" t="inlineStr">
        <is>
          <t>Substructure</t>
        </is>
      </c>
      <c r="B2" t="n">
        <v>84</v>
      </c>
      <c r="C2" t="n">
        <v>80</v>
      </c>
      <c r="D2" t="n">
        <v>82</v>
      </c>
      <c r="E2" t="n">
        <v>85</v>
      </c>
    </row>
    <row r="3">
      <c r="A3" t="inlineStr">
        <is>
          <t>3H Hotel</t>
        </is>
      </c>
      <c r="B3" t="n">
        <v>83</v>
      </c>
      <c r="C3" t="n">
        <v>82</v>
      </c>
      <c r="D3" t="n">
        <v>86</v>
      </c>
      <c r="E3" t="n">
        <v>89</v>
      </c>
    </row>
    <row r="4">
      <c r="A4" t="inlineStr">
        <is>
          <t>4H Hotel</t>
        </is>
      </c>
      <c r="B4" t="n">
        <v>82</v>
      </c>
      <c r="C4" t="n">
        <v>81</v>
      </c>
      <c r="D4" t="n">
        <v>84</v>
      </c>
      <c r="E4" t="n">
        <v>87</v>
      </c>
    </row>
    <row r="5">
      <c r="A5" t="inlineStr">
        <is>
          <t>Retail 1</t>
        </is>
      </c>
      <c r="B5" t="n">
        <v>86</v>
      </c>
      <c r="C5" t="n">
        <v>75</v>
      </c>
      <c r="D5" t="n">
        <v>83</v>
      </c>
      <c r="E5" t="n">
        <v>0</v>
      </c>
    </row>
    <row r="6">
      <c r="A6" t="inlineStr">
        <is>
          <t>Retail 2</t>
        </is>
      </c>
      <c r="B6" t="n">
        <v>86</v>
      </c>
      <c r="C6" t="n">
        <v>83</v>
      </c>
      <c r="D6" t="n">
        <v>86</v>
      </c>
      <c r="E6" t="n">
        <v>0</v>
      </c>
    </row>
    <row r="7">
      <c r="A7" t="inlineStr">
        <is>
          <t>Convention</t>
        </is>
      </c>
      <c r="B7" t="n">
        <v>83</v>
      </c>
      <c r="C7" t="n">
        <v>85</v>
      </c>
      <c r="D7" t="n">
        <v>86</v>
      </c>
      <c r="E7" t="n">
        <v>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B1" t="inlineStr">
        <is>
          <t>Total Clashes</t>
        </is>
      </c>
      <c r="D1" t="inlineStr">
        <is>
          <t>Hotspot</t>
        </is>
      </c>
      <c r="E1" t="inlineStr">
        <is>
          <t>Count</t>
        </is>
      </c>
    </row>
    <row r="2">
      <c r="A2" t="inlineStr">
        <is>
          <t>17 Aug</t>
        </is>
      </c>
      <c r="B2" t="n">
        <v>15297</v>
      </c>
      <c r="D2" t="inlineStr">
        <is>
          <t>MEPF vs AR</t>
        </is>
      </c>
      <c r="E2" t="n">
        <v>5131</v>
      </c>
    </row>
    <row r="3">
      <c r="A3" t="inlineStr">
        <is>
          <t>24 Aug</t>
        </is>
      </c>
      <c r="B3" t="n">
        <v>34845</v>
      </c>
      <c r="D3" t="inlineStr">
        <is>
          <t>LA vs MEPF</t>
        </is>
      </c>
      <c r="E3" t="n">
        <v>2233</v>
      </c>
    </row>
    <row r="4">
      <c r="A4" t="inlineStr">
        <is>
          <t>27 Aug</t>
        </is>
      </c>
      <c r="B4" t="n">
        <v>17400</v>
      </c>
      <c r="D4" t="inlineStr">
        <is>
          <t>MEPF vs ST</t>
        </is>
      </c>
      <c r="E4" t="n">
        <v>1957</v>
      </c>
    </row>
    <row r="5">
      <c r="D5" t="inlineStr">
        <is>
          <t>AR vs ST</t>
        </is>
      </c>
      <c r="E5" t="n">
        <v>1576</v>
      </c>
    </row>
    <row r="6">
      <c r="D6" t="inlineStr">
        <is>
          <t>LA vs ST</t>
        </is>
      </c>
      <c r="E6" t="n">
        <v>1339</v>
      </c>
    </row>
    <row r="7">
      <c r="D7" t="inlineStr">
        <is>
          <t>LA vs LA</t>
        </is>
      </c>
      <c r="E7" t="n">
        <v>1073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B1" t="inlineStr">
        <is>
          <t>Done</t>
        </is>
      </c>
      <c r="C1" t="inlineStr">
        <is>
          <t>Total</t>
        </is>
      </c>
      <c r="E1" t="inlineStr">
        <is>
          <t>Concrete m3</t>
        </is>
      </c>
      <c r="F1" t="inlineStr">
        <is>
          <t>Achieved</t>
        </is>
      </c>
    </row>
    <row r="2">
      <c r="A2" t="inlineStr">
        <is>
          <t>4-H</t>
        </is>
      </c>
      <c r="B2" t="n">
        <v>39</v>
      </c>
      <c r="C2" t="n">
        <v>46</v>
      </c>
      <c r="E2" t="inlineStr">
        <is>
          <t>Plan</t>
        </is>
      </c>
      <c r="F2" t="n">
        <v>3025</v>
      </c>
      <c r="G2" t="n">
        <v>5584</v>
      </c>
    </row>
    <row r="3">
      <c r="A3" t="inlineStr">
        <is>
          <t>3-H</t>
        </is>
      </c>
      <c r="B3" t="n">
        <v>15</v>
      </c>
      <c r="C3" t="n">
        <v>51</v>
      </c>
    </row>
    <row r="4">
      <c r="A4" t="inlineStr">
        <is>
          <t>CC</t>
        </is>
      </c>
      <c r="B4" t="n">
        <v>8</v>
      </c>
      <c r="C4" t="n">
        <v>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inlineStr">
        <is>
          <t>Workmen</t>
        </is>
      </c>
    </row>
    <row r="2">
      <c r="A2" t="inlineStr">
        <is>
          <t>Available</t>
        </is>
      </c>
      <c r="B2" t="n">
        <v>1032</v>
      </c>
    </row>
    <row r="3">
      <c r="A3" t="inlineStr">
        <is>
          <t>Sept Plan</t>
        </is>
      </c>
      <c r="B3" t="n">
        <v>1205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B1" t="inlineStr">
        <is>
          <t>₹ Cr</t>
        </is>
      </c>
    </row>
    <row r="2">
      <c r="A2" t="inlineStr">
        <is>
          <t>Supply</t>
        </is>
      </c>
      <c r="B2" t="n">
        <v>24</v>
      </c>
    </row>
    <row r="3">
      <c r="A3" t="inlineStr">
        <is>
          <t>Service</t>
        </is>
      </c>
      <c r="B3" t="n">
        <v>12.5</v>
      </c>
    </row>
    <row r="4">
      <c r="A4" t="inlineStr">
        <is>
          <t>Design</t>
        </is>
      </c>
      <c r="B4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B1" t="inlineStr">
        <is>
          <t>FTM</t>
        </is>
      </c>
      <c r="C1" t="inlineStr">
        <is>
          <t>ITD</t>
        </is>
      </c>
    </row>
    <row r="2">
      <c r="A2" t="inlineStr">
        <is>
          <t>Safe Manhours</t>
        </is>
      </c>
      <c r="B2" t="n">
        <v>127954</v>
      </c>
      <c r="C2" t="n">
        <v>344498</v>
      </c>
    </row>
    <row r="3">
      <c r="A3" t="inlineStr">
        <is>
          <t>Inductions</t>
        </is>
      </c>
      <c r="B3" t="n">
        <v>585</v>
      </c>
      <c r="C3" t="n">
        <v>1691</v>
      </c>
    </row>
    <row r="4">
      <c r="A4" t="inlineStr">
        <is>
          <t>Training Sessions</t>
        </is>
      </c>
      <c r="B4" t="n">
        <v>35</v>
      </c>
      <c r="C4" t="n">
        <v>109</v>
      </c>
    </row>
    <row r="5">
      <c r="A5" t="inlineStr">
        <is>
          <t>Tool Box Talks</t>
        </is>
      </c>
      <c r="B5" t="n">
        <v>265</v>
      </c>
      <c r="C5" t="n">
        <v>615</v>
      </c>
    </row>
    <row r="6">
      <c r="A6" t="inlineStr">
        <is>
          <t>Safety Observations</t>
        </is>
      </c>
      <c r="B6" t="n">
        <v>122</v>
      </c>
      <c r="C6" t="n">
        <v>781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Count</t>
        </is>
      </c>
      <c r="D1" t="inlineStr">
        <is>
          <t>Lagging</t>
        </is>
      </c>
      <c r="E1" t="inlineStr">
        <is>
          <t>Count</t>
        </is>
      </c>
    </row>
    <row r="2">
      <c r="A2" t="inlineStr">
        <is>
          <t>Training Imparted</t>
        </is>
      </c>
      <c r="B2" t="n">
        <v>74</v>
      </c>
      <c r="D2" t="inlineStr">
        <is>
          <t>Obs. External</t>
        </is>
      </c>
      <c r="E2" t="n">
        <v>32</v>
      </c>
    </row>
    <row r="3">
      <c r="A3" t="inlineStr">
        <is>
          <t>Good/Best Practices</t>
        </is>
      </c>
      <c r="B3" t="n">
        <v>16</v>
      </c>
      <c r="D3" t="inlineStr">
        <is>
          <t>Obs. Internal</t>
        </is>
      </c>
      <c r="E3" t="n">
        <v>15</v>
      </c>
    </row>
    <row r="4">
      <c r="A4" t="inlineStr">
        <is>
          <t>Material Approvals</t>
        </is>
      </c>
      <c r="B4" t="n">
        <v>12</v>
      </c>
      <c r="D4" t="inlineStr">
        <is>
          <t>Rejection</t>
        </is>
      </c>
      <c r="E4" t="n">
        <v>1</v>
      </c>
    </row>
    <row r="5">
      <c r="A5" t="inlineStr">
        <is>
          <t>Management Walkdown</t>
        </is>
      </c>
      <c r="B5" t="n">
        <v>9</v>
      </c>
      <c r="D5" t="inlineStr">
        <is>
          <t>Repetitive Dev.</t>
        </is>
      </c>
      <c r="E5" t="n">
        <v>0</v>
      </c>
    </row>
    <row r="6">
      <c r="A6" t="inlineStr">
        <is>
          <t>Mockups</t>
        </is>
      </c>
      <c r="B6" t="n">
        <v>5</v>
      </c>
      <c r="D6" t="inlineStr">
        <is>
          <t>Snag Issued</t>
        </is>
      </c>
      <c r="E6" t="n">
        <v>0</v>
      </c>
    </row>
    <row r="7">
      <c r="D7" t="inlineStr">
        <is>
          <t>Stop Work</t>
        </is>
      </c>
      <c r="E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2026-09-27T20:32:29Z</dcterms:created>
  <dcterms:modified xmlns:dcterms="http://purl.org/dc/terms/" xmlns:xsi="http://www.w3.org/2001/XMLSchema-instance" xsi:type="dcterms:W3CDTF">2026-09-27T20:32:29Z</dcterms:modified>
</cp:coreProperties>
</file>